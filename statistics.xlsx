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diaoz\Desktop\"/>
    </mc:Choice>
  </mc:AlternateContent>
  <xr:revisionPtr revIDLastSave="0" documentId="13_ncr:1_{C8A2CEB0-4ECD-4483-A188-B42C3A4700A1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评分" sheetId="2" r:id="rId1"/>
    <sheet name="胜率" sheetId="3" r:id="rId2"/>
    <sheet name="分路KDA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2" i="2"/>
  <c r="C2" i="2"/>
  <c r="C16" i="2"/>
  <c r="C16" i="3"/>
  <c r="B16" i="1" a="1"/>
  <c r="B16" i="1" s="1"/>
  <c r="C15" i="3"/>
  <c r="C3" i="3"/>
  <c r="C4" i="3"/>
  <c r="C5" i="3"/>
  <c r="C6" i="3"/>
  <c r="C7" i="3"/>
  <c r="C8" i="3"/>
  <c r="C9" i="3"/>
  <c r="C10" i="3"/>
  <c r="C11" i="3"/>
  <c r="C12" i="3"/>
  <c r="C13" i="3"/>
  <c r="C14" i="3"/>
  <c r="C2" i="3"/>
  <c r="C3" i="2"/>
  <c r="C4" i="2"/>
  <c r="C5" i="2"/>
  <c r="C6" i="2"/>
  <c r="C7" i="2"/>
  <c r="C8" i="2"/>
  <c r="C9" i="2"/>
  <c r="C10" i="2"/>
  <c r="C11" i="2"/>
  <c r="C12" i="2"/>
  <c r="C13" i="2"/>
  <c r="C14" i="2"/>
  <c r="C15" i="2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<sst xmlns="http://schemas.openxmlformats.org/spreadsheetml/2006/main" count="76" uniqueCount="41">
  <si>
    <t>昵称</t>
    <phoneticPr fontId="2" type="noConversion"/>
  </si>
  <si>
    <t>先发育再揍人</t>
    <phoneticPr fontId="2" type="noConversion"/>
  </si>
  <si>
    <t>白尾赤狐</t>
    <phoneticPr fontId="2" type="noConversion"/>
  </si>
  <si>
    <t>HYPERSPACE</t>
    <phoneticPr fontId="2" type="noConversion"/>
  </si>
  <si>
    <t>不管对抗只管鹿</t>
    <phoneticPr fontId="2" type="noConversion"/>
  </si>
  <si>
    <t>祈总亲太久</t>
    <phoneticPr fontId="2" type="noConversion"/>
  </si>
  <si>
    <t>tú</t>
    <phoneticPr fontId="2" type="noConversion"/>
  </si>
  <si>
    <t>神说要有月</t>
    <phoneticPr fontId="2" type="noConversion"/>
  </si>
  <si>
    <t>69回溯命运</t>
    <phoneticPr fontId="2" type="noConversion"/>
  </si>
  <si>
    <t>尹智凯</t>
    <phoneticPr fontId="2" type="noConversion"/>
  </si>
  <si>
    <t>排名</t>
    <phoneticPr fontId="2" type="noConversion"/>
  </si>
  <si>
    <t>赤石的坚果</t>
    <phoneticPr fontId="2" type="noConversion"/>
  </si>
  <si>
    <t>TS官仿</t>
    <phoneticPr fontId="2" type="noConversion"/>
  </si>
  <si>
    <t>院布劳内</t>
    <phoneticPr fontId="2" type="noConversion"/>
  </si>
  <si>
    <t>胜率</t>
    <phoneticPr fontId="2" type="noConversion"/>
  </si>
  <si>
    <t>进村磨炼意志</t>
    <phoneticPr fontId="2" type="noConversion"/>
  </si>
  <si>
    <t>总KDA</t>
    <phoneticPr fontId="2" type="noConversion"/>
  </si>
  <si>
    <t>9/1/6</t>
    <phoneticPr fontId="2" type="noConversion"/>
  </si>
  <si>
    <t>1/6/2</t>
    <phoneticPr fontId="2" type="noConversion"/>
  </si>
  <si>
    <t>8/0/7</t>
    <phoneticPr fontId="2" type="noConversion"/>
  </si>
  <si>
    <t>2/6/1</t>
    <phoneticPr fontId="2" type="noConversion"/>
  </si>
  <si>
    <t>1/3/6</t>
    <phoneticPr fontId="2" type="noConversion"/>
  </si>
  <si>
    <t>2/0/12</t>
    <phoneticPr fontId="2" type="noConversion"/>
  </si>
  <si>
    <t>0/3/1</t>
    <phoneticPr fontId="2" type="noConversion"/>
  </si>
  <si>
    <t>飞翔的可乐6</t>
    <phoneticPr fontId="2" type="noConversion"/>
  </si>
  <si>
    <t>1/4/2</t>
    <phoneticPr fontId="2" type="noConversion"/>
  </si>
  <si>
    <t>2/4/0</t>
    <phoneticPr fontId="2" type="noConversion"/>
  </si>
  <si>
    <t>3/2/7</t>
    <phoneticPr fontId="2" type="noConversion"/>
  </si>
  <si>
    <t>平均评分</t>
    <phoneticPr fontId="2" type="noConversion"/>
  </si>
  <si>
    <t>情</t>
    <phoneticPr fontId="2" type="noConversion"/>
  </si>
  <si>
    <t>场次</t>
    <phoneticPr fontId="2" type="noConversion"/>
  </si>
  <si>
    <t>9/5/2</t>
    <phoneticPr fontId="2" type="noConversion"/>
  </si>
  <si>
    <t>2/13/4</t>
    <phoneticPr fontId="2" type="noConversion"/>
  </si>
  <si>
    <t>13/3/7</t>
    <phoneticPr fontId="2" type="noConversion"/>
  </si>
  <si>
    <t>1/7/9</t>
    <phoneticPr fontId="2" type="noConversion"/>
  </si>
  <si>
    <t>7/3/4</t>
    <phoneticPr fontId="2" type="noConversion"/>
  </si>
  <si>
    <t>0/5/10</t>
    <phoneticPr fontId="2" type="noConversion"/>
  </si>
  <si>
    <t>10/5/7</t>
    <phoneticPr fontId="2" type="noConversion"/>
  </si>
  <si>
    <t>5/3/7</t>
    <phoneticPr fontId="2" type="noConversion"/>
  </si>
  <si>
    <t>4/5/5</t>
    <phoneticPr fontId="2" type="noConversion"/>
  </si>
  <si>
    <t>1/3/15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</si>
</sst>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2"/>
      <color theme="1"/>
      <name val="等线"/>
      <family val="2"/>
      <scheme val="minor"/>
    </font>
    <font>
      <b/>
      <sz val="22"/>
      <color theme="1"/>
      <name val="等线"/>
      <family val="3"/>
      <charset val="134"/>
      <scheme val="minor"/>
    </font>
    <font>
      <b/>
      <sz val="22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22" fontId="4" fillId="0" borderId="2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9" fontId="3" fillId="0" borderId="3" xfId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62320-AF56-4058-A909-D08236C0F3E4}">
  <dimension ref="A1:H16"/>
  <sheetViews>
    <sheetView tabSelected="1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G11" sqref="G11"/>
    </sheetView>
  </sheetViews>
  <sheetFormatPr defaultColWidth="30.58203125" defaultRowHeight="30" customHeight="1" x14ac:dyDescent="0.3"/>
  <cols>
    <col min="1" max="2" width="15.33203125" style="1" customWidth="1"/>
    <col min="3" max="3" width="17.25" style="1" customWidth="1"/>
    <col min="4" max="4" width="30.58203125" style="1"/>
    <col min="5" max="5" width="32.08203125" style="1" bestFit="1" customWidth="1"/>
    <col min="6" max="16384" width="30.58203125" style="1"/>
  </cols>
  <sheetData>
    <row r="1" spans="1:8" s="5" customFormat="1" ht="30" customHeight="1" thickBot="1" x14ac:dyDescent="0.35">
      <c r="A1" s="10" t="s">
        <v>10</v>
      </c>
      <c r="B1" s="4" t="s">
        <v>30</v>
      </c>
      <c r="C1" s="10" t="s">
        <v>28</v>
      </c>
      <c r="D1" s="4" t="s">
        <v>0</v>
      </c>
      <c r="E1" s="6">
        <v>45972.938194444447</v>
      </c>
      <c r="F1" s="6">
        <v>45972.953472222223</v>
      </c>
      <c r="G1" s="4">
        <v>3</v>
      </c>
      <c r="H1" s="4">
        <v>4</v>
      </c>
    </row>
    <row r="2" spans="1:8" s="3" customFormat="1" ht="30" customHeight="1" x14ac:dyDescent="0.3">
      <c r="A2" s="3">
        <v>1</v>
      </c>
      <c r="B2" s="3">
        <f>COUNTA($E2:$ZZ2)</f>
        <v>2</v>
      </c>
      <c r="C2" s="3">
        <f>IFERROR(AVERAGE($E2:$AAA2), 0)</f>
        <v>8.5</v>
      </c>
      <c r="D2" s="3" t="s">
        <v>13</v>
      </c>
      <c r="E2" s="3">
        <v>10.6</v>
      </c>
      <c r="F2" s="3">
        <v>6.4</v>
      </c>
    </row>
    <row r="3" spans="1:8" s="2" customFormat="1" ht="30" customHeight="1" x14ac:dyDescent="0.3">
      <c r="A3" s="2">
        <v>2</v>
      </c>
      <c r="B3" s="3">
        <f t="shared" ref="B3:B16" si="0">COUNTA($E3:$ZZ3)</f>
        <v>2</v>
      </c>
      <c r="C3" s="3">
        <f t="shared" ref="C3:C16" si="1">IFERROR(AVERAGE($E3:$AAA3), 0)</f>
        <v>5</v>
      </c>
      <c r="D3" s="2" t="s">
        <v>1</v>
      </c>
      <c r="E3" s="2">
        <v>4.0999999999999996</v>
      </c>
      <c r="F3" s="2">
        <v>5.9</v>
      </c>
    </row>
    <row r="4" spans="1:8" s="2" customFormat="1" ht="30" customHeight="1" x14ac:dyDescent="0.3">
      <c r="A4" s="2">
        <v>3</v>
      </c>
      <c r="B4" s="3">
        <f t="shared" si="0"/>
        <v>2</v>
      </c>
      <c r="C4" s="3">
        <f t="shared" si="1"/>
        <v>9.8500000000000014</v>
      </c>
      <c r="D4" s="2" t="s">
        <v>2</v>
      </c>
      <c r="E4" s="2">
        <v>11.3</v>
      </c>
      <c r="F4" s="2">
        <v>8.4</v>
      </c>
    </row>
    <row r="5" spans="1:8" s="2" customFormat="1" ht="30" customHeight="1" x14ac:dyDescent="0.3">
      <c r="A5" s="2">
        <v>4</v>
      </c>
      <c r="B5" s="3">
        <f t="shared" si="0"/>
        <v>2</v>
      </c>
      <c r="C5" s="3">
        <f t="shared" si="1"/>
        <v>6.45</v>
      </c>
      <c r="D5" s="2" t="s">
        <v>3</v>
      </c>
      <c r="E5" s="2">
        <v>4.5999999999999996</v>
      </c>
      <c r="F5" s="2">
        <v>8.3000000000000007</v>
      </c>
    </row>
    <row r="6" spans="1:8" s="2" customFormat="1" ht="30" customHeight="1" x14ac:dyDescent="0.3">
      <c r="A6" s="2">
        <v>5</v>
      </c>
      <c r="B6" s="3">
        <f t="shared" si="0"/>
        <v>0</v>
      </c>
      <c r="C6" s="3">
        <f t="shared" si="1"/>
        <v>0</v>
      </c>
      <c r="D6" s="2" t="s">
        <v>4</v>
      </c>
    </row>
    <row r="7" spans="1:8" s="2" customFormat="1" ht="30" customHeight="1" x14ac:dyDescent="0.3">
      <c r="A7" s="2">
        <v>6</v>
      </c>
      <c r="B7" s="3">
        <f t="shared" si="0"/>
        <v>0</v>
      </c>
      <c r="C7" s="3">
        <f t="shared" si="1"/>
        <v>0</v>
      </c>
      <c r="D7" s="2" t="s">
        <v>5</v>
      </c>
    </row>
    <row r="8" spans="1:8" s="2" customFormat="1" ht="30" customHeight="1" x14ac:dyDescent="0.3">
      <c r="A8" s="2">
        <v>7</v>
      </c>
      <c r="B8" s="3">
        <f t="shared" si="0"/>
        <v>2</v>
      </c>
      <c r="C8" s="3">
        <f t="shared" si="1"/>
        <v>8.1000000000000014</v>
      </c>
      <c r="D8" s="2" t="s">
        <v>6</v>
      </c>
      <c r="E8" s="2">
        <v>5.9</v>
      </c>
      <c r="F8" s="2">
        <v>10.3</v>
      </c>
    </row>
    <row r="9" spans="1:8" s="2" customFormat="1" ht="30" customHeight="1" x14ac:dyDescent="0.3">
      <c r="A9" s="2">
        <v>8</v>
      </c>
      <c r="B9" s="3">
        <f t="shared" si="0"/>
        <v>2</v>
      </c>
      <c r="C9" s="3">
        <f t="shared" si="1"/>
        <v>8.4</v>
      </c>
      <c r="D9" s="2" t="s">
        <v>7</v>
      </c>
      <c r="E9" s="2">
        <v>6.9</v>
      </c>
      <c r="F9" s="2">
        <v>9.9</v>
      </c>
    </row>
    <row r="10" spans="1:8" s="2" customFormat="1" ht="30" customHeight="1" x14ac:dyDescent="0.3">
      <c r="A10" s="2">
        <v>9</v>
      </c>
      <c r="B10" s="3">
        <f t="shared" si="0"/>
        <v>0</v>
      </c>
      <c r="C10" s="3">
        <f t="shared" si="1"/>
        <v>0</v>
      </c>
      <c r="D10" s="2" t="s">
        <v>8</v>
      </c>
    </row>
    <row r="11" spans="1:8" s="2" customFormat="1" ht="30" customHeight="1" x14ac:dyDescent="0.3">
      <c r="A11" s="2">
        <v>10</v>
      </c>
      <c r="B11" s="3">
        <f t="shared" si="0"/>
        <v>0</v>
      </c>
      <c r="C11" s="3">
        <f t="shared" si="1"/>
        <v>0</v>
      </c>
      <c r="D11" s="2" t="s">
        <v>9</v>
      </c>
    </row>
    <row r="12" spans="1:8" s="2" customFormat="1" ht="30" customHeight="1" x14ac:dyDescent="0.3">
      <c r="A12" s="2">
        <v>11</v>
      </c>
      <c r="B12" s="3">
        <f t="shared" si="0"/>
        <v>1</v>
      </c>
      <c r="C12" s="3">
        <f t="shared" si="1"/>
        <v>6.4</v>
      </c>
      <c r="D12" s="2" t="s">
        <v>11</v>
      </c>
      <c r="E12" s="2">
        <v>6.4</v>
      </c>
    </row>
    <row r="13" spans="1:8" s="2" customFormat="1" ht="30" customHeight="1" x14ac:dyDescent="0.3">
      <c r="A13" s="2">
        <v>12</v>
      </c>
      <c r="B13" s="3">
        <f t="shared" si="0"/>
        <v>2</v>
      </c>
      <c r="C13" s="3">
        <f t="shared" si="1"/>
        <v>6.2</v>
      </c>
      <c r="D13" s="2" t="s">
        <v>12</v>
      </c>
      <c r="E13" s="2">
        <v>7.5</v>
      </c>
      <c r="F13" s="2">
        <v>4.9000000000000004</v>
      </c>
    </row>
    <row r="14" spans="1:8" s="2" customFormat="1" ht="30" customHeight="1" x14ac:dyDescent="0.3">
      <c r="A14" s="2">
        <v>13</v>
      </c>
      <c r="B14" s="3">
        <f t="shared" si="0"/>
        <v>2</v>
      </c>
      <c r="C14" s="3">
        <f t="shared" si="1"/>
        <v>4.95</v>
      </c>
      <c r="D14" s="2" t="s">
        <v>15</v>
      </c>
      <c r="E14" s="2">
        <v>4.2</v>
      </c>
      <c r="F14" s="2">
        <v>5.7</v>
      </c>
    </row>
    <row r="15" spans="1:8" s="2" customFormat="1" ht="30" customHeight="1" x14ac:dyDescent="0.3">
      <c r="A15" s="2">
        <v>14</v>
      </c>
      <c r="B15" s="3">
        <f t="shared" si="0"/>
        <v>2</v>
      </c>
      <c r="C15" s="3">
        <f t="shared" si="1"/>
        <v>6.3</v>
      </c>
      <c r="D15" s="2" t="s">
        <v>24</v>
      </c>
      <c r="E15" s="2">
        <v>6.1</v>
      </c>
      <c r="F15" s="2">
        <v>6.5</v>
      </c>
    </row>
    <row r="16" spans="1:8" s="2" customFormat="1" ht="30" customHeight="1" x14ac:dyDescent="0.3">
      <c r="A16" s="2">
        <v>15</v>
      </c>
      <c r="B16" s="3">
        <f t="shared" si="0"/>
        <v>1</v>
      </c>
      <c r="C16" s="3">
        <f t="shared" si="1"/>
        <v>12.8</v>
      </c>
      <c r="D16" s="2" t="s">
        <v>29</v>
      </c>
      <c r="F16" s="2">
        <v>12.8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22CA7-28E7-4722-A881-DDF49DC92ED9}">
  <dimension ref="A1:H16"/>
  <sheetViews>
    <sheetView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G6" sqref="G6"/>
    </sheetView>
  </sheetViews>
  <sheetFormatPr defaultColWidth="30.58203125" defaultRowHeight="30" customHeight="1" x14ac:dyDescent="0.3"/>
  <cols>
    <col min="1" max="2" width="15.33203125" style="1" customWidth="1"/>
    <col min="3" max="3" width="14.25" style="1" customWidth="1"/>
    <col min="4" max="4" width="30.58203125" style="1"/>
    <col min="5" max="6" width="32.08203125" style="1" bestFit="1" customWidth="1"/>
    <col min="7" max="16384" width="30.58203125" style="1"/>
  </cols>
  <sheetData>
    <row r="1" spans="1:8" s="5" customFormat="1" ht="30" customHeight="1" thickBot="1" x14ac:dyDescent="0.35">
      <c r="A1" s="10" t="s">
        <v>10</v>
      </c>
      <c r="B1" s="4" t="s">
        <v>30</v>
      </c>
      <c r="C1" s="10" t="s">
        <v>14</v>
      </c>
      <c r="D1" s="4" t="s">
        <v>0</v>
      </c>
      <c r="E1" s="6">
        <v>45972.938194444447</v>
      </c>
      <c r="F1" s="6">
        <v>45972.953472222223</v>
      </c>
      <c r="G1" s="4">
        <v>3</v>
      </c>
      <c r="H1" s="4">
        <v>4</v>
      </c>
    </row>
    <row r="2" spans="1:8" s="3" customFormat="1" ht="30" customHeight="1" x14ac:dyDescent="0.3">
      <c r="A2" s="3">
        <v>1</v>
      </c>
      <c r="B2" s="3">
        <f>COUNTA($E2:$ZZ2)</f>
        <v>2</v>
      </c>
      <c r="C2" s="9">
        <f>IFERROR(AVERAGE($E2:$AAA2), 0)</f>
        <v>0.5</v>
      </c>
      <c r="D2" s="3" t="s">
        <v>13</v>
      </c>
      <c r="E2" s="3">
        <v>1</v>
      </c>
      <c r="F2" s="3">
        <v>0</v>
      </c>
    </row>
    <row r="3" spans="1:8" s="2" customFormat="1" ht="30" customHeight="1" x14ac:dyDescent="0.3">
      <c r="A3" s="2">
        <v>2</v>
      </c>
      <c r="B3" s="3">
        <f t="shared" ref="B3:B16" si="0">COUNTA($E3:$ZZ3)</f>
        <v>2</v>
      </c>
      <c r="C3" s="9">
        <f t="shared" ref="C3:C16" si="1">IFERROR(AVERAGE($E3:$AAA3), 0)</f>
        <v>0.5</v>
      </c>
      <c r="D3" s="2" t="s">
        <v>1</v>
      </c>
      <c r="E3" s="2">
        <v>0</v>
      </c>
      <c r="F3" s="2">
        <v>1</v>
      </c>
    </row>
    <row r="4" spans="1:8" s="2" customFormat="1" ht="30" customHeight="1" x14ac:dyDescent="0.3">
      <c r="A4" s="2">
        <v>3</v>
      </c>
      <c r="B4" s="3">
        <f t="shared" si="0"/>
        <v>2</v>
      </c>
      <c r="C4" s="9">
        <f t="shared" si="1"/>
        <v>0.5</v>
      </c>
      <c r="D4" s="2" t="s">
        <v>2</v>
      </c>
      <c r="E4" s="2">
        <v>1</v>
      </c>
      <c r="F4" s="2">
        <v>0</v>
      </c>
    </row>
    <row r="5" spans="1:8" s="2" customFormat="1" ht="30" customHeight="1" x14ac:dyDescent="0.3">
      <c r="A5" s="2">
        <v>4</v>
      </c>
      <c r="B5" s="3">
        <f t="shared" si="0"/>
        <v>2</v>
      </c>
      <c r="C5" s="9">
        <f t="shared" si="1"/>
        <v>0.5</v>
      </c>
      <c r="D5" s="2" t="s">
        <v>3</v>
      </c>
      <c r="E5" s="2">
        <v>0</v>
      </c>
      <c r="F5" s="2">
        <v>1</v>
      </c>
    </row>
    <row r="6" spans="1:8" s="2" customFormat="1" ht="30" customHeight="1" x14ac:dyDescent="0.3">
      <c r="A6" s="2">
        <v>5</v>
      </c>
      <c r="B6" s="3">
        <f t="shared" si="0"/>
        <v>0</v>
      </c>
      <c r="C6" s="9">
        <f t="shared" si="1"/>
        <v>0</v>
      </c>
      <c r="D6" s="2" t="s">
        <v>4</v>
      </c>
    </row>
    <row r="7" spans="1:8" s="2" customFormat="1" ht="30" customHeight="1" x14ac:dyDescent="0.3">
      <c r="A7" s="2">
        <v>6</v>
      </c>
      <c r="B7" s="3">
        <f t="shared" si="0"/>
        <v>0</v>
      </c>
      <c r="C7" s="9">
        <f t="shared" si="1"/>
        <v>0</v>
      </c>
      <c r="D7" s="2" t="s">
        <v>5</v>
      </c>
    </row>
    <row r="8" spans="1:8" s="2" customFormat="1" ht="30" customHeight="1" x14ac:dyDescent="0.3">
      <c r="A8" s="2">
        <v>7</v>
      </c>
      <c r="B8" s="3">
        <f t="shared" si="0"/>
        <v>1</v>
      </c>
      <c r="C8" s="9">
        <f t="shared" si="1"/>
        <v>0</v>
      </c>
      <c r="D8" s="2" t="s">
        <v>6</v>
      </c>
      <c r="E8" s="2">
        <v>0</v>
      </c>
    </row>
    <row r="9" spans="1:8" s="2" customFormat="1" ht="30" customHeight="1" x14ac:dyDescent="0.3">
      <c r="A9" s="2">
        <v>8</v>
      </c>
      <c r="B9" s="3">
        <f t="shared" si="0"/>
        <v>2</v>
      </c>
      <c r="C9" s="9">
        <f t="shared" si="1"/>
        <v>0.5</v>
      </c>
      <c r="D9" s="2" t="s">
        <v>7</v>
      </c>
      <c r="E9" s="2">
        <v>1</v>
      </c>
      <c r="F9" s="2">
        <v>0</v>
      </c>
    </row>
    <row r="10" spans="1:8" s="2" customFormat="1" ht="30" customHeight="1" x14ac:dyDescent="0.3">
      <c r="A10" s="2">
        <v>9</v>
      </c>
      <c r="B10" s="3">
        <f t="shared" si="0"/>
        <v>0</v>
      </c>
      <c r="C10" s="9">
        <f t="shared" si="1"/>
        <v>0</v>
      </c>
      <c r="D10" s="2" t="s">
        <v>8</v>
      </c>
    </row>
    <row r="11" spans="1:8" s="2" customFormat="1" ht="30" customHeight="1" x14ac:dyDescent="0.3">
      <c r="A11" s="2">
        <v>10</v>
      </c>
      <c r="B11" s="3">
        <f t="shared" si="0"/>
        <v>0</v>
      </c>
      <c r="C11" s="9">
        <f t="shared" si="1"/>
        <v>0</v>
      </c>
      <c r="D11" s="2" t="s">
        <v>9</v>
      </c>
    </row>
    <row r="12" spans="1:8" s="2" customFormat="1" ht="30" customHeight="1" x14ac:dyDescent="0.3">
      <c r="A12" s="2">
        <v>11</v>
      </c>
      <c r="B12" s="3">
        <f t="shared" si="0"/>
        <v>1</v>
      </c>
      <c r="C12" s="9">
        <f t="shared" si="1"/>
        <v>1</v>
      </c>
      <c r="D12" s="2" t="s">
        <v>11</v>
      </c>
      <c r="E12" s="2">
        <v>1</v>
      </c>
    </row>
    <row r="13" spans="1:8" s="2" customFormat="1" ht="30" customHeight="1" x14ac:dyDescent="0.3">
      <c r="A13" s="2">
        <v>12</v>
      </c>
      <c r="B13" s="3">
        <f t="shared" si="0"/>
        <v>2</v>
      </c>
      <c r="C13" s="9">
        <f t="shared" si="1"/>
        <v>0.5</v>
      </c>
      <c r="D13" s="2" t="s">
        <v>12</v>
      </c>
      <c r="E13" s="2">
        <v>1</v>
      </c>
      <c r="F13" s="2">
        <v>0</v>
      </c>
    </row>
    <row r="14" spans="1:8" s="2" customFormat="1" ht="30" customHeight="1" x14ac:dyDescent="0.3">
      <c r="A14" s="2">
        <v>13</v>
      </c>
      <c r="B14" s="3">
        <f t="shared" si="0"/>
        <v>2</v>
      </c>
      <c r="C14" s="9">
        <f t="shared" si="1"/>
        <v>0</v>
      </c>
      <c r="D14" s="2" t="s">
        <v>15</v>
      </c>
      <c r="E14" s="2">
        <v>0</v>
      </c>
      <c r="F14" s="2">
        <v>0</v>
      </c>
    </row>
    <row r="15" spans="1:8" s="2" customFormat="1" ht="30" customHeight="1" x14ac:dyDescent="0.3">
      <c r="A15" s="2">
        <v>14</v>
      </c>
      <c r="B15" s="3">
        <f t="shared" si="0"/>
        <v>2</v>
      </c>
      <c r="C15" s="9">
        <f>IFERROR(AVERAGE($E15:$AAA15), 0)</f>
        <v>0.5</v>
      </c>
      <c r="D15" s="2" t="s">
        <v>24</v>
      </c>
      <c r="E15" s="2">
        <v>0</v>
      </c>
      <c r="F15" s="2">
        <v>1</v>
      </c>
    </row>
    <row r="16" spans="1:8" s="2" customFormat="1" ht="30" customHeight="1" x14ac:dyDescent="0.3">
      <c r="A16" s="2">
        <v>15</v>
      </c>
      <c r="B16" s="3">
        <f t="shared" si="0"/>
        <v>1</v>
      </c>
      <c r="C16" s="9">
        <f t="shared" si="1"/>
        <v>1</v>
      </c>
      <c r="D16" s="2" t="s">
        <v>29</v>
      </c>
      <c r="F16" s="2">
        <v>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workbookViewId="0">
      <selection activeCell="E6" sqref="E6"/>
    </sheetView>
  </sheetViews>
  <sheetFormatPr defaultColWidth="30.58203125" defaultRowHeight="30" customHeight="1" x14ac:dyDescent="0.3"/>
  <cols>
    <col min="1" max="1" width="15.33203125" style="1" customWidth="1"/>
    <col min="2" max="2" width="17.25" style="1" customWidth="1"/>
    <col min="3" max="3" width="30.58203125" style="1"/>
    <col min="4" max="5" width="32.08203125" style="1" bestFit="1" customWidth="1"/>
    <col min="6" max="16384" width="30.58203125" style="1"/>
  </cols>
  <sheetData>
    <row r="1" spans="1:7" s="5" customFormat="1" ht="30" customHeight="1" thickBot="1" x14ac:dyDescent="0.35">
      <c r="A1" s="4" t="s">
        <v>10</v>
      </c>
      <c r="B1" s="4" t="s">
        <v>16</v>
      </c>
      <c r="C1" s="4" t="s">
        <v>0</v>
      </c>
      <c r="D1" s="6">
        <v>45972.938194444447</v>
      </c>
      <c r="E1" s="6">
        <v>45972.953472222223</v>
      </c>
      <c r="F1" s="4">
        <v>3</v>
      </c>
      <c r="G1" s="4">
        <v>4</v>
      </c>
    </row>
    <row r="2" spans="1:7" s="7" customFormat="1" ht="30" customHeight="1" x14ac:dyDescent="0.3">
      <c r="A2" s="3">
        <v>1</v>
      </c>
      <c r="B2" s="3" t="str" cm="1">
        <f t="array" ref="B2">_xlfn.TEXTJOIN("/", TRUE, SUM(IF($D2:$ZZ2&lt;&gt;"", --(LEFT($D2:$ZZ2, FIND("/", $D2:$ZZ2)-1)), 0)), SUM(IF($D2:$ZZ2&lt;&gt;"", --(MID($D2:$ZZ2, FIND("/", $D2:$ZZ2)+1, FIND("/", $D2:$ZZ2, FIND("/", $D2:$ZZ2)+1)-FIND("/", $D2:$ZZ2)-1)), 0)), SUM(IF($D2:$ZZ2&lt;&gt;"", --(RIGHT($D2:$ZZ2, LEN($D2:$ZZ2)-FIND("/", $D2:$ZZ2, FIND("/", $D2:$ZZ2)+1))), 0)))</f>
        <v>9/6/16</v>
      </c>
      <c r="C2" s="3" t="s">
        <v>13</v>
      </c>
      <c r="D2" s="7" t="s">
        <v>17</v>
      </c>
      <c r="E2" s="7" t="s">
        <v>36</v>
      </c>
    </row>
    <row r="3" spans="1:7" s="8" customFormat="1" ht="30" customHeight="1" x14ac:dyDescent="0.3">
      <c r="A3" s="2">
        <v>2</v>
      </c>
      <c r="B3" s="3" t="str" cm="1">
        <f t="array" ref="B3">_xlfn.TEXTJOIN("/", TRUE, SUM(IF($D3:$ZZ3&lt;&gt;"", --(LEFT($D3:$ZZ3, FIND("/", $D3:$ZZ3)-1)), 0)), SUM(IF($D3:$ZZ3&lt;&gt;"", --(MID($D3:$ZZ3, FIND("/", $D3:$ZZ3)+1, FIND("/", $D3:$ZZ3, FIND("/", $D3:$ZZ3)+1)-FIND("/", $D3:$ZZ3)-1)), 0)), SUM(IF($D3:$ZZ3&lt;&gt;"", --(RIGHT($D3:$ZZ3, LEN($D3:$ZZ3)-FIND("/", $D3:$ZZ3, FIND("/", $D3:$ZZ3)+1))), 0)))</f>
        <v>6/9/9</v>
      </c>
      <c r="C3" s="2" t="s">
        <v>1</v>
      </c>
      <c r="D3" s="8" t="s">
        <v>18</v>
      </c>
      <c r="E3" s="8" t="s">
        <v>38</v>
      </c>
    </row>
    <row r="4" spans="1:7" s="8" customFormat="1" ht="30" customHeight="1" x14ac:dyDescent="0.3">
      <c r="A4" s="2">
        <v>3</v>
      </c>
      <c r="B4" s="3" t="str" cm="1">
        <f t="array" ref="B4">_xlfn.TEXTJOIN("/", TRUE, SUM(IF($D4:$ZZ4&lt;&gt;"", --(LEFT($D4:$ZZ4, FIND("/", $D4:$ZZ4)-1)), 0)), SUM(IF($D4:$ZZ4&lt;&gt;"", --(MID($D4:$ZZ4, FIND("/", $D4:$ZZ4)+1, FIND("/", $D4:$ZZ4, FIND("/", $D4:$ZZ4)+1)-FIND("/", $D4:$ZZ4)-1)), 0)), SUM(IF($D4:$ZZ4&lt;&gt;"", --(RIGHT($D4:$ZZ4, LEN($D4:$ZZ4)-FIND("/", $D4:$ZZ4, FIND("/", $D4:$ZZ4)+1))), 0)))</f>
        <v>17/5/9</v>
      </c>
      <c r="C4" s="2" t="s">
        <v>2</v>
      </c>
      <c r="D4" s="8" t="s">
        <v>19</v>
      </c>
      <c r="E4" s="8" t="s">
        <v>31</v>
      </c>
    </row>
    <row r="5" spans="1:7" s="8" customFormat="1" ht="30" customHeight="1" x14ac:dyDescent="0.3">
      <c r="A5" s="2">
        <v>4</v>
      </c>
      <c r="B5" s="3" t="str" cm="1">
        <f t="array" ref="B5">_xlfn.TEXTJOIN("/", TRUE, SUM(IF($D5:$ZZ5&lt;&gt;"", --(LEFT($D5:$ZZ5, FIND("/", $D5:$ZZ5)-1)), 0)), SUM(IF($D5:$ZZ5&lt;&gt;"", --(MID($D5:$ZZ5, FIND("/", $D5:$ZZ5)+1, FIND("/", $D5:$ZZ5, FIND("/", $D5:$ZZ5)+1)-FIND("/", $D5:$ZZ5)-1)), 0)), SUM(IF($D5:$ZZ5&lt;&gt;"", --(RIGHT($D5:$ZZ5, LEN($D5:$ZZ5)-FIND("/", $D5:$ZZ5, FIND("/", $D5:$ZZ5)+1))), 0)))</f>
        <v>3/9/16</v>
      </c>
      <c r="C5" s="2" t="s">
        <v>3</v>
      </c>
      <c r="D5" s="8" t="s">
        <v>20</v>
      </c>
      <c r="E5" s="8" t="s">
        <v>40</v>
      </c>
    </row>
    <row r="6" spans="1:7" s="8" customFormat="1" ht="30" customHeight="1" x14ac:dyDescent="0.3">
      <c r="A6" s="2">
        <v>5</v>
      </c>
      <c r="B6" s="3" t="str" cm="1">
        <f t="array" ref="B6">_xlfn.TEXTJOIN("/", TRUE, SUM(IF($D6:$ZZ6&lt;&gt;"", --(LEFT($D6:$ZZ6, FIND("/", $D6:$ZZ6)-1)), 0)), SUM(IF($D6:$ZZ6&lt;&gt;"", --(MID($D6:$ZZ6, FIND("/", $D6:$ZZ6)+1, FIND("/", $D6:$ZZ6, FIND("/", $D6:$ZZ6)+1)-FIND("/", $D6:$ZZ6)-1)), 0)), SUM(IF($D6:$ZZ6&lt;&gt;"", --(RIGHT($D6:$ZZ6, LEN($D6:$ZZ6)-FIND("/", $D6:$ZZ6, FIND("/", $D6:$ZZ6)+1))), 0)))</f>
        <v>0/0/0</v>
      </c>
      <c r="C6" s="2" t="s">
        <v>4</v>
      </c>
    </row>
    <row r="7" spans="1:7" s="8" customFormat="1" ht="30" customHeight="1" x14ac:dyDescent="0.3">
      <c r="A7" s="2">
        <v>6</v>
      </c>
      <c r="B7" s="3" t="str" cm="1">
        <f t="array" ref="B7">_xlfn.TEXTJOIN("/", TRUE, SUM(IF($D7:$ZZ7&lt;&gt;"", --(LEFT($D7:$ZZ7, FIND("/", $D7:$ZZ7)-1)), 0)), SUM(IF($D7:$ZZ7&lt;&gt;"", --(MID($D7:$ZZ7, FIND("/", $D7:$ZZ7)+1, FIND("/", $D7:$ZZ7, FIND("/", $D7:$ZZ7)+1)-FIND("/", $D7:$ZZ7)-1)), 0)), SUM(IF($D7:$ZZ7&lt;&gt;"", --(RIGHT($D7:$ZZ7, LEN($D7:$ZZ7)-FIND("/", $D7:$ZZ7, FIND("/", $D7:$ZZ7)+1))), 0)))</f>
        <v>0/0/0</v>
      </c>
      <c r="C7" s="2" t="s">
        <v>5</v>
      </c>
    </row>
    <row r="8" spans="1:7" s="8" customFormat="1" ht="30" customHeight="1" x14ac:dyDescent="0.3">
      <c r="A8" s="2">
        <v>7</v>
      </c>
      <c r="B8" s="3" t="str" cm="1">
        <f t="array" ref="B8">_xlfn.TEXTJOIN("/", TRUE, SUM(IF($D8:$ZZ8&lt;&gt;"", --(LEFT($D8:$ZZ8, FIND("/", $D8:$ZZ8)-1)), 0)), SUM(IF($D8:$ZZ8&lt;&gt;"", --(MID($D8:$ZZ8, FIND("/", $D8:$ZZ8)+1, FIND("/", $D8:$ZZ8, FIND("/", $D8:$ZZ8)+1)-FIND("/", $D8:$ZZ8)-1)), 0)), SUM(IF($D8:$ZZ8&lt;&gt;"", --(RIGHT($D8:$ZZ8, LEN($D8:$ZZ8)-FIND("/", $D8:$ZZ8, FIND("/", $D8:$ZZ8)+1))), 0)))</f>
        <v>12/9/7</v>
      </c>
      <c r="C8" s="2" t="s">
        <v>6</v>
      </c>
      <c r="D8" s="8" t="s">
        <v>26</v>
      </c>
      <c r="E8" s="8" t="s">
        <v>37</v>
      </c>
    </row>
    <row r="9" spans="1:7" s="8" customFormat="1" ht="30" customHeight="1" x14ac:dyDescent="0.3">
      <c r="A9" s="2">
        <v>8</v>
      </c>
      <c r="B9" s="3" t="str" cm="1">
        <f t="array" ref="B9">_xlfn.TEXTJOIN("/", TRUE, SUM(IF($D9:$ZZ9&lt;&gt;"", --(LEFT($D9:$ZZ9, FIND("/", $D9:$ZZ9)-1)), 0)), SUM(IF($D9:$ZZ9&lt;&gt;"", --(MID($D9:$ZZ9, FIND("/", $D9:$ZZ9)+1, FIND("/", $D9:$ZZ9, FIND("/", $D9:$ZZ9)+1)-FIND("/", $D9:$ZZ9)-1)), 0)), SUM(IF($D9:$ZZ9&lt;&gt;"", --(RIGHT($D9:$ZZ9, LEN($D9:$ZZ9)-FIND("/", $D9:$ZZ9, FIND("/", $D9:$ZZ9)+1))), 0)))</f>
        <v>10/5/11</v>
      </c>
      <c r="C9" s="2" t="s">
        <v>7</v>
      </c>
      <c r="D9" s="8" t="s">
        <v>27</v>
      </c>
      <c r="E9" s="8" t="s">
        <v>35</v>
      </c>
    </row>
    <row r="10" spans="1:7" s="8" customFormat="1" ht="30" customHeight="1" x14ac:dyDescent="0.3">
      <c r="A10" s="2">
        <v>9</v>
      </c>
      <c r="B10" s="3" t="str" cm="1">
        <f t="array" ref="B10">_xlfn.TEXTJOIN("/", TRUE, SUM(IF($D10:$ZZ10&lt;&gt;"", --(LEFT($D10:$ZZ10, FIND("/", $D10:$ZZ10)-1)), 0)), SUM(IF($D10:$ZZ10&lt;&gt;"", --(MID($D10:$ZZ10, FIND("/", $D10:$ZZ10)+1, FIND("/", $D10:$ZZ10, FIND("/", $D10:$ZZ10)+1)-FIND("/", $D10:$ZZ10)-1)), 0)), SUM(IF($D10:$ZZ10&lt;&gt;"", --(RIGHT($D10:$ZZ10, LEN($D10:$ZZ10)-FIND("/", $D10:$ZZ10, FIND("/", $D10:$ZZ10)+1))), 0)))</f>
        <v>0/0/0</v>
      </c>
      <c r="C10" s="2" t="s">
        <v>8</v>
      </c>
    </row>
    <row r="11" spans="1:7" s="8" customFormat="1" ht="30" customHeight="1" x14ac:dyDescent="0.3">
      <c r="A11" s="2">
        <v>10</v>
      </c>
      <c r="B11" s="3" t="str" cm="1">
        <f t="array" ref="B11">_xlfn.TEXTJOIN("/", TRUE, SUM(IF($D11:$ZZ11&lt;&gt;"", --(LEFT($D11:$ZZ11, FIND("/", $D11:$ZZ11)-1)), 0)), SUM(IF($D11:$ZZ11&lt;&gt;"", --(MID($D11:$ZZ11, FIND("/", $D11:$ZZ11)+1, FIND("/", $D11:$ZZ11, FIND("/", $D11:$ZZ11)+1)-FIND("/", $D11:$ZZ11)-1)), 0)), SUM(IF($D11:$ZZ11&lt;&gt;"", --(RIGHT($D11:$ZZ11, LEN($D11:$ZZ11)-FIND("/", $D11:$ZZ11, FIND("/", $D11:$ZZ11)+1))), 0)))</f>
        <v>0/0/0</v>
      </c>
      <c r="C11" s="2" t="s">
        <v>9</v>
      </c>
    </row>
    <row r="12" spans="1:7" s="8" customFormat="1" ht="30" customHeight="1" x14ac:dyDescent="0.3">
      <c r="A12" s="2">
        <v>11</v>
      </c>
      <c r="B12" s="3" t="str" cm="1">
        <f t="array" ref="B12">_xlfn.TEXTJOIN("/", TRUE, SUM(IF($D12:$ZZ12&lt;&gt;"", --(LEFT($D12:$ZZ12, FIND("/", $D12:$ZZ12)-1)), 0)), SUM(IF($D12:$ZZ12&lt;&gt;"", --(MID($D12:$ZZ12, FIND("/", $D12:$ZZ12)+1, FIND("/", $D12:$ZZ12, FIND("/", $D12:$ZZ12)+1)-FIND("/", $D12:$ZZ12)-1)), 0)), SUM(IF($D12:$ZZ12&lt;&gt;"", --(RIGHT($D12:$ZZ12, LEN($D12:$ZZ12)-FIND("/", $D12:$ZZ12, FIND("/", $D12:$ZZ12)+1))), 0)))</f>
        <v>1/3/6</v>
      </c>
      <c r="C12" s="2" t="s">
        <v>11</v>
      </c>
      <c r="D12" s="8" t="s">
        <v>21</v>
      </c>
    </row>
    <row r="13" spans="1:7" s="8" customFormat="1" ht="30" customHeight="1" x14ac:dyDescent="0.3">
      <c r="A13" s="2">
        <v>12</v>
      </c>
      <c r="B13" s="3" t="str" cm="1">
        <f t="array" ref="B13">_xlfn.TEXTJOIN("/", TRUE, SUM(IF($D13:$ZZ13&lt;&gt;"", --(LEFT($D13:$ZZ13, FIND("/", $D13:$ZZ13)-1)), 0)), SUM(IF($D13:$ZZ13&lt;&gt;"", --(MID($D13:$ZZ13, FIND("/", $D13:$ZZ13)+1, FIND("/", $D13:$ZZ13, FIND("/", $D13:$ZZ13)+1)-FIND("/", $D13:$ZZ13)-1)), 0)), SUM(IF($D13:$ZZ13&lt;&gt;"", --(RIGHT($D13:$ZZ13, LEN($D13:$ZZ13)-FIND("/", $D13:$ZZ13, FIND("/", $D13:$ZZ13)+1))), 0)))</f>
        <v>3/7/21</v>
      </c>
      <c r="C13" s="2" t="s">
        <v>12</v>
      </c>
      <c r="D13" s="8" t="s">
        <v>22</v>
      </c>
      <c r="E13" s="8" t="s">
        <v>34</v>
      </c>
    </row>
    <row r="14" spans="1:7" s="7" customFormat="1" ht="30" customHeight="1" x14ac:dyDescent="0.3">
      <c r="A14" s="3">
        <v>13</v>
      </c>
      <c r="B14" s="3" t="str" cm="1">
        <f t="array" ref="B14">_xlfn.TEXTJOIN("/", TRUE, SUM(IF($D14:$ZZ14&lt;&gt;"", --(LEFT($D14:$ZZ14, FIND("/", $D14:$ZZ14)-1)), 0)), SUM(IF($D14:$ZZ14&lt;&gt;"", --(MID($D14:$ZZ14, FIND("/", $D14:$ZZ14)+1, FIND("/", $D14:$ZZ14, FIND("/", $D14:$ZZ14)+1)-FIND("/", $D14:$ZZ14)-1)), 0)), SUM(IF($D14:$ZZ14&lt;&gt;"", --(RIGHT($D14:$ZZ14, LEN($D14:$ZZ14)-FIND("/", $D14:$ZZ14, FIND("/", $D14:$ZZ14)+1))), 0)))</f>
        <v>2/16/5</v>
      </c>
      <c r="C14" s="3" t="s">
        <v>15</v>
      </c>
      <c r="D14" s="7" t="s">
        <v>23</v>
      </c>
      <c r="E14" s="7" t="s">
        <v>32</v>
      </c>
    </row>
    <row r="15" spans="1:7" s="8" customFormat="1" ht="30" customHeight="1" x14ac:dyDescent="0.3">
      <c r="A15" s="2">
        <v>14</v>
      </c>
      <c r="B15" s="3" t="str" cm="1">
        <f t="array" ref="B15">_xlfn.TEXTJOIN("/", TRUE, SUM(IF($D15:$ZZ15&lt;&gt;"", --(LEFT($D15:$ZZ15, FIND("/", $D15:$ZZ15)-1)), 0)), SUM(IF($D15:$ZZ15&lt;&gt;"", --(MID($D15:$ZZ15, FIND("/", $D15:$ZZ15)+1, FIND("/", $D15:$ZZ15, FIND("/", $D15:$ZZ15)+1)-FIND("/", $D15:$ZZ15)-1)), 0)), SUM(IF($D15:$ZZ15&lt;&gt;"", --(RIGHT($D15:$ZZ15, LEN($D15:$ZZ15)-FIND("/", $D15:$ZZ15, FIND("/", $D15:$ZZ15)+1))), 0)))</f>
        <v>5/9/7</v>
      </c>
      <c r="C15" s="2" t="s">
        <v>24</v>
      </c>
      <c r="D15" s="8" t="s">
        <v>25</v>
      </c>
      <c r="E15" s="8" t="s">
        <v>39</v>
      </c>
    </row>
    <row r="16" spans="1:7" s="8" customFormat="1" ht="30" customHeight="1" x14ac:dyDescent="0.3">
      <c r="A16" s="2">
        <v>15</v>
      </c>
      <c r="B16" s="3" t="str" cm="1">
        <f t="array" ref="B16">_xlfn.TEXTJOIN("/", TRUE, SUM(IF($D16:$ZZ16&lt;&gt;"", --(LEFT($D16:$ZZ16, FIND("/", $D16:$ZZ16)-1)), 0)), SUM(IF($D16:$ZZ16&lt;&gt;"", --(MID($D16:$ZZ16, FIND("/", $D16:$ZZ16)+1, FIND("/", $D16:$ZZ16, FIND("/", $D16:$ZZ16)+1)-FIND("/", $D16:$ZZ16)-1)), 0)), SUM(IF($D16:$ZZ16&lt;&gt;"", --(RIGHT($D16:$ZZ16, LEN($D16:$ZZ16)-FIND("/", $D16:$ZZ16, FIND("/", $D16:$ZZ16)+1))), 0)))</f>
        <v>13/3/7</v>
      </c>
      <c r="C16" s="2" t="s">
        <v>29</v>
      </c>
      <c r="E16" s="8" t="s">
        <v>33</v>
      </c>
    </row>
  </sheetData>
  <phoneticPr fontId="2" type="noConversion"/>
  <pageMargins left="0.7" right="0.7" top="0.75" bottom="0.75" header="0.3" footer="0.3"/>
  <ignoredErrors>
    <ignoredError sqref="D2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评分</vt:lpstr>
      <vt:lpstr>胜率</vt:lpstr>
      <vt:lpstr>分路KDA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李林峰</dc:creator>
  <cp:lastModifiedBy>LI Linfeng</cp:lastModifiedBy>
  <dcterms:created xsi:type="dcterms:W3CDTF">2015-06-05T18:19:34Z</dcterms:created>
  <dcterms:modified xsi:type="dcterms:W3CDTF">2025-11-14T19:10:13Z</dcterms:modified>
</cp:coreProperties>
</file>