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aoz\Desktop\自造网站\王者荣耀对抗赛数据统计\"/>
    </mc:Choice>
  </mc:AlternateContent>
  <xr:revisionPtr revIDLastSave="0" documentId="13_ncr:1_{5FE33A8D-115A-489B-BD2A-CA69CFA5623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评分" sheetId="2" r:id="rId1"/>
    <sheet name="胜率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B15" i="3"/>
  <c r="C14" i="3"/>
  <c r="B14" i="3"/>
  <c r="C7" i="3"/>
  <c r="B7" i="3"/>
  <c r="C5" i="3"/>
  <c r="B5" i="3"/>
  <c r="C2" i="3"/>
  <c r="B2" i="3"/>
  <c r="C3" i="3"/>
  <c r="B3" i="3"/>
  <c r="C12" i="3"/>
  <c r="B12" i="3"/>
  <c r="C8" i="3"/>
  <c r="B8" i="3"/>
  <c r="C6" i="3"/>
  <c r="B6" i="3"/>
  <c r="C13" i="3"/>
  <c r="B13" i="3"/>
  <c r="C10" i="3"/>
  <c r="B10" i="3"/>
  <c r="C9" i="3"/>
  <c r="B9" i="3"/>
  <c r="C11" i="3"/>
  <c r="B11" i="3"/>
  <c r="C4" i="3"/>
  <c r="B4" i="3"/>
  <c r="C15" i="2"/>
  <c r="B15" i="2"/>
  <c r="C6" i="2"/>
  <c r="B6" i="2"/>
  <c r="C11" i="2"/>
  <c r="B11" i="2"/>
  <c r="C5" i="2"/>
  <c r="B5" i="2"/>
  <c r="C3" i="2"/>
  <c r="B3" i="2"/>
  <c r="C2" i="2"/>
  <c r="B2" i="2"/>
  <c r="C9" i="2"/>
  <c r="B9" i="2"/>
  <c r="C7" i="2"/>
  <c r="B7" i="2"/>
  <c r="C12" i="2"/>
  <c r="B12" i="2"/>
  <c r="C13" i="2"/>
  <c r="B13" i="2"/>
  <c r="C10" i="2"/>
  <c r="B10" i="2"/>
  <c r="C4" i="2"/>
  <c r="B4" i="2"/>
  <c r="C14" i="2"/>
  <c r="B14" i="2"/>
  <c r="C8" i="2"/>
  <c r="B8" i="2"/>
</calcChain>
</file>

<file path=xl/sharedStrings.xml><?xml version="1.0" encoding="utf-8"?>
<sst xmlns="http://schemas.openxmlformats.org/spreadsheetml/2006/main" count="38" uniqueCount="21">
  <si>
    <t>排名</t>
  </si>
  <si>
    <t>场次</t>
  </si>
  <si>
    <t>平均评分</t>
  </si>
  <si>
    <t>昵称</t>
  </si>
  <si>
    <t>2025/11/15/ 0：35</t>
  </si>
  <si>
    <t>院布劳内</t>
  </si>
  <si>
    <t>先发育再揍人</t>
  </si>
  <si>
    <t>白尾赤狐</t>
  </si>
  <si>
    <t>HYPERSPACE</t>
  </si>
  <si>
    <t>大运重卡师傅</t>
  </si>
  <si>
    <t>祈总亲太久</t>
  </si>
  <si>
    <t>tú</t>
  </si>
  <si>
    <t>神说要有月</t>
  </si>
  <si>
    <t>69回溯命运</t>
  </si>
  <si>
    <t>浅梦织云纱</t>
  </si>
  <si>
    <t>赤石的坚果</t>
  </si>
  <si>
    <t>TS官仿</t>
  </si>
  <si>
    <t>进村磨炼意志</t>
  </si>
  <si>
    <t>飞翔的可乐6</t>
  </si>
  <si>
    <t>胜率</t>
  </si>
  <si>
    <t>2025/11/14/ 23:49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</si>
</sst>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22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2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1" fillId="0" borderId="2" xfId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4" sqref="E4"/>
    </sheetView>
  </sheetViews>
  <sheetFormatPr defaultColWidth="30.58203125" defaultRowHeight="30" customHeight="1" x14ac:dyDescent="0.3"/>
  <cols>
    <col min="1" max="2" width="15.33203125" style="2" customWidth="1"/>
    <col min="3" max="3" width="17.25" style="2" customWidth="1"/>
    <col min="4" max="4" width="30.58203125" style="2"/>
    <col min="5" max="12" width="32.08203125" style="2" customWidth="1"/>
    <col min="13" max="16384" width="30.58203125" style="2"/>
  </cols>
  <sheetData>
    <row r="1" spans="1:12" s="1" customFormat="1" ht="30" customHeight="1" x14ac:dyDescent="0.3">
      <c r="A1" s="7" t="s">
        <v>0</v>
      </c>
      <c r="B1" s="3" t="s">
        <v>1</v>
      </c>
      <c r="C1" s="7" t="s">
        <v>2</v>
      </c>
      <c r="D1" s="3" t="s">
        <v>3</v>
      </c>
      <c r="E1" s="4">
        <v>45975.961805555598</v>
      </c>
      <c r="F1" s="4">
        <v>45975.979861111096</v>
      </c>
      <c r="G1" s="4" t="s">
        <v>20</v>
      </c>
      <c r="H1" s="4">
        <v>45976.008333333302</v>
      </c>
      <c r="I1" s="4" t="s">
        <v>4</v>
      </c>
      <c r="J1" s="4">
        <v>45976.038194444402</v>
      </c>
      <c r="K1" s="4">
        <v>45976.051388888904</v>
      </c>
      <c r="L1" s="4">
        <v>45976.064583333296</v>
      </c>
    </row>
    <row r="2" spans="1:12" s="5" customFormat="1" ht="30" customHeight="1" x14ac:dyDescent="0.3">
      <c r="A2" s="5">
        <v>1</v>
      </c>
      <c r="B2" s="5">
        <f>COUNTA($E2:$ZZ2)</f>
        <v>8</v>
      </c>
      <c r="C2" s="9">
        <f>IFERROR(AVERAGE($E2:$AAA2),0)</f>
        <v>12.3375</v>
      </c>
      <c r="D2" s="5" t="s">
        <v>13</v>
      </c>
      <c r="E2" s="5">
        <v>13.4</v>
      </c>
      <c r="F2" s="5">
        <v>13.1</v>
      </c>
      <c r="G2" s="5">
        <v>14</v>
      </c>
      <c r="H2" s="5">
        <v>14.2</v>
      </c>
      <c r="I2" s="5">
        <v>13.8</v>
      </c>
      <c r="J2" s="5">
        <v>7.5</v>
      </c>
      <c r="K2" s="5">
        <v>7.4</v>
      </c>
      <c r="L2" s="5">
        <v>15.3</v>
      </c>
    </row>
    <row r="3" spans="1:12" s="6" customFormat="1" ht="30" customHeight="1" x14ac:dyDescent="0.3">
      <c r="A3" s="6">
        <v>2</v>
      </c>
      <c r="B3" s="5">
        <f>COUNTA($E3:$ZZ3)</f>
        <v>1</v>
      </c>
      <c r="C3" s="9">
        <f>IFERROR(AVERAGE($E3:$AAA3),0)</f>
        <v>11.2</v>
      </c>
      <c r="D3" s="6" t="s">
        <v>14</v>
      </c>
      <c r="L3" s="6">
        <v>11.2</v>
      </c>
    </row>
    <row r="4" spans="1:12" s="6" customFormat="1" ht="30" customHeight="1" x14ac:dyDescent="0.3">
      <c r="A4" s="6">
        <v>3</v>
      </c>
      <c r="B4" s="5">
        <f>COUNTA($E4:$ZZ4)</f>
        <v>5</v>
      </c>
      <c r="C4" s="9">
        <f>IFERROR(AVERAGE($E4:$AAA4),0)</f>
        <v>9.48</v>
      </c>
      <c r="D4" s="6" t="s">
        <v>7</v>
      </c>
      <c r="H4" s="6">
        <v>9.1999999999999993</v>
      </c>
      <c r="I4" s="6">
        <v>7.7</v>
      </c>
      <c r="J4" s="6">
        <v>10.3</v>
      </c>
      <c r="K4" s="6">
        <v>11.9</v>
      </c>
      <c r="L4" s="6">
        <v>8.3000000000000007</v>
      </c>
    </row>
    <row r="5" spans="1:12" s="6" customFormat="1" ht="30" customHeight="1" x14ac:dyDescent="0.3">
      <c r="A5" s="6">
        <v>4</v>
      </c>
      <c r="B5" s="5">
        <f>COUNTA($E5:$ZZ5)</f>
        <v>7</v>
      </c>
      <c r="C5" s="9">
        <f>IFERROR(AVERAGE($E5:$AAA5),0)</f>
        <v>9.1714285714285726</v>
      </c>
      <c r="D5" s="6" t="s">
        <v>15</v>
      </c>
      <c r="E5" s="6">
        <v>7.9</v>
      </c>
      <c r="F5" s="6">
        <v>9.1999999999999993</v>
      </c>
      <c r="G5" s="6">
        <v>12.6</v>
      </c>
      <c r="I5" s="6">
        <v>4.8</v>
      </c>
      <c r="J5" s="6">
        <v>12.8</v>
      </c>
      <c r="K5" s="6">
        <v>8.6999999999999993</v>
      </c>
      <c r="L5" s="6">
        <v>8.1999999999999993</v>
      </c>
    </row>
    <row r="6" spans="1:12" s="6" customFormat="1" ht="30" customHeight="1" x14ac:dyDescent="0.3">
      <c r="A6" s="6">
        <v>5</v>
      </c>
      <c r="B6" s="5">
        <f>COUNTA($E6:$ZZ6)</f>
        <v>3</v>
      </c>
      <c r="C6" s="9">
        <f>IFERROR(AVERAGE($E6:$AAA6),0)</f>
        <v>8.6999999999999993</v>
      </c>
      <c r="D6" s="6" t="s">
        <v>17</v>
      </c>
      <c r="E6" s="6">
        <v>11.4</v>
      </c>
      <c r="F6" s="6">
        <v>7</v>
      </c>
      <c r="G6" s="6">
        <v>7.7</v>
      </c>
    </row>
    <row r="7" spans="1:12" s="6" customFormat="1" ht="30" customHeight="1" x14ac:dyDescent="0.3">
      <c r="A7" s="6">
        <v>6</v>
      </c>
      <c r="B7" s="5">
        <f>COUNTA($E7:$ZZ7)</f>
        <v>5</v>
      </c>
      <c r="C7" s="9">
        <f>IFERROR(AVERAGE($E7:$AAA7),0)</f>
        <v>8.2600000000000016</v>
      </c>
      <c r="D7" s="6" t="s">
        <v>11</v>
      </c>
      <c r="H7" s="6">
        <v>11.3</v>
      </c>
      <c r="I7" s="6">
        <v>9.5</v>
      </c>
      <c r="J7" s="6">
        <v>3.7</v>
      </c>
      <c r="K7" s="6">
        <v>9.1</v>
      </c>
      <c r="L7" s="6">
        <v>7.7</v>
      </c>
    </row>
    <row r="8" spans="1:12" s="6" customFormat="1" ht="30" customHeight="1" x14ac:dyDescent="0.3">
      <c r="A8" s="6">
        <v>7</v>
      </c>
      <c r="B8" s="5">
        <f>COUNTA($E8:$ZZ8)</f>
        <v>8</v>
      </c>
      <c r="C8" s="9">
        <f>IFERROR(AVERAGE($E8:$AAA8),0)</f>
        <v>8.1125000000000007</v>
      </c>
      <c r="D8" s="6" t="s">
        <v>5</v>
      </c>
      <c r="E8" s="6">
        <v>10.1</v>
      </c>
      <c r="F8" s="6">
        <v>10.4</v>
      </c>
      <c r="G8" s="6">
        <v>6.6</v>
      </c>
      <c r="H8" s="6">
        <v>10.8</v>
      </c>
      <c r="I8" s="6">
        <v>5.3</v>
      </c>
      <c r="J8" s="6">
        <v>7.8</v>
      </c>
      <c r="K8" s="6">
        <v>5.2</v>
      </c>
      <c r="L8" s="6">
        <v>8.6999999999999993</v>
      </c>
    </row>
    <row r="9" spans="1:12" s="6" customFormat="1" ht="30" customHeight="1" x14ac:dyDescent="0.3">
      <c r="A9" s="6">
        <v>8</v>
      </c>
      <c r="B9" s="5">
        <f>COUNTA($E9:$ZZ9)</f>
        <v>8</v>
      </c>
      <c r="C9" s="9">
        <f>IFERROR(AVERAGE($E9:$AAA9),0)</f>
        <v>7.8125</v>
      </c>
      <c r="D9" s="6" t="s">
        <v>12</v>
      </c>
      <c r="E9" s="6">
        <v>7.7</v>
      </c>
      <c r="F9" s="6">
        <v>7.6</v>
      </c>
      <c r="G9" s="6">
        <v>7.3</v>
      </c>
      <c r="H9" s="6">
        <v>5.3</v>
      </c>
      <c r="I9" s="6">
        <v>7.2</v>
      </c>
      <c r="J9" s="6">
        <v>7.3</v>
      </c>
      <c r="K9" s="6">
        <v>12.3</v>
      </c>
      <c r="L9" s="6">
        <v>7.8</v>
      </c>
    </row>
    <row r="10" spans="1:12" s="6" customFormat="1" ht="30" customHeight="1" x14ac:dyDescent="0.3">
      <c r="A10" s="6">
        <v>9</v>
      </c>
      <c r="B10" s="5">
        <f>COUNTA($E10:$ZZ10)</f>
        <v>3</v>
      </c>
      <c r="C10" s="9">
        <f>IFERROR(AVERAGE($E10:$AAA10),0)</f>
        <v>6.9666666666666659</v>
      </c>
      <c r="D10" s="6" t="s">
        <v>8</v>
      </c>
      <c r="F10" s="6">
        <v>6.8</v>
      </c>
      <c r="G10" s="6">
        <v>5.9</v>
      </c>
      <c r="H10" s="6">
        <v>8.1999999999999993</v>
      </c>
    </row>
    <row r="11" spans="1:12" s="6" customFormat="1" ht="30" customHeight="1" x14ac:dyDescent="0.3">
      <c r="A11" s="6">
        <v>10</v>
      </c>
      <c r="B11" s="5">
        <f>COUNTA($E11:$ZZ11)</f>
        <v>8</v>
      </c>
      <c r="C11" s="9">
        <f>IFERROR(AVERAGE($E11:$AAA11),0)</f>
        <v>6.4375</v>
      </c>
      <c r="D11" s="6" t="s">
        <v>16</v>
      </c>
      <c r="E11" s="6">
        <v>8.4</v>
      </c>
      <c r="F11" s="6">
        <v>5.7</v>
      </c>
      <c r="G11" s="6">
        <v>7.7</v>
      </c>
      <c r="H11" s="6">
        <v>5.3</v>
      </c>
      <c r="I11" s="6">
        <v>6.8</v>
      </c>
      <c r="J11" s="6">
        <v>5.4</v>
      </c>
      <c r="K11" s="6">
        <v>6.1</v>
      </c>
      <c r="L11" s="6">
        <v>6.1</v>
      </c>
    </row>
    <row r="12" spans="1:12" s="6" customFormat="1" ht="30" customHeight="1" x14ac:dyDescent="0.3">
      <c r="A12" s="6">
        <v>11</v>
      </c>
      <c r="B12" s="5">
        <f>COUNTA($E12:$ZZ12)</f>
        <v>8</v>
      </c>
      <c r="C12" s="9">
        <f>IFERROR(AVERAGE($E12:$AAA12),0)</f>
        <v>6.3749999999999991</v>
      </c>
      <c r="D12" s="6" t="s">
        <v>10</v>
      </c>
      <c r="E12" s="6">
        <v>6.2</v>
      </c>
      <c r="F12" s="6">
        <v>5.5</v>
      </c>
      <c r="G12" s="6">
        <v>7.6</v>
      </c>
      <c r="H12" s="6">
        <v>5.9</v>
      </c>
      <c r="I12" s="6">
        <v>7.3</v>
      </c>
      <c r="J12" s="6">
        <v>4.5</v>
      </c>
      <c r="K12" s="6">
        <v>7.8</v>
      </c>
      <c r="L12" s="6">
        <v>6.2</v>
      </c>
    </row>
    <row r="13" spans="1:12" s="6" customFormat="1" ht="30" customHeight="1" x14ac:dyDescent="0.3">
      <c r="A13" s="6">
        <v>12</v>
      </c>
      <c r="B13" s="5">
        <f>COUNTA($E13:$ZZ13)</f>
        <v>7</v>
      </c>
      <c r="C13" s="9">
        <f>IFERROR(AVERAGE($E13:$AAA13),0)</f>
        <v>6.3142857142857149</v>
      </c>
      <c r="D13" s="6" t="s">
        <v>9</v>
      </c>
      <c r="E13" s="6">
        <v>7.3</v>
      </c>
      <c r="F13" s="6">
        <v>5.0999999999999996</v>
      </c>
      <c r="G13" s="6">
        <v>9.4</v>
      </c>
      <c r="H13" s="6">
        <v>5.6</v>
      </c>
      <c r="I13" s="6">
        <v>8.5</v>
      </c>
      <c r="J13" s="6">
        <v>4.2</v>
      </c>
      <c r="K13" s="6">
        <v>4.0999999999999996</v>
      </c>
    </row>
    <row r="14" spans="1:12" s="6" customFormat="1" ht="30" customHeight="1" x14ac:dyDescent="0.3">
      <c r="A14" s="6">
        <v>13</v>
      </c>
      <c r="B14" s="5">
        <f>COUNTA($E14:$ZZ14)</f>
        <v>8</v>
      </c>
      <c r="C14" s="9">
        <f>IFERROR(AVERAGE($E14:$AAA14),0)</f>
        <v>6.125</v>
      </c>
      <c r="D14" s="6" t="s">
        <v>6</v>
      </c>
      <c r="E14" s="6">
        <v>4.5</v>
      </c>
      <c r="F14" s="6">
        <v>3.9</v>
      </c>
      <c r="G14" s="6">
        <v>6.3</v>
      </c>
      <c r="H14" s="6">
        <v>6.1</v>
      </c>
      <c r="I14" s="6">
        <v>9.6999999999999993</v>
      </c>
      <c r="J14" s="6">
        <v>4.5999999999999996</v>
      </c>
      <c r="K14" s="6">
        <v>6.2</v>
      </c>
      <c r="L14" s="6">
        <v>7.7</v>
      </c>
    </row>
    <row r="15" spans="1:12" s="6" customFormat="1" ht="30" customHeight="1" x14ac:dyDescent="0.3">
      <c r="A15" s="6">
        <v>14</v>
      </c>
      <c r="B15" s="5">
        <f>COUNTA($E15:$ZZ15)</f>
        <v>0</v>
      </c>
      <c r="C15" s="9">
        <f>IFERROR(AVERAGE($E15:$AAA15),0)</f>
        <v>0</v>
      </c>
      <c r="D15" s="6" t="s">
        <v>18</v>
      </c>
    </row>
    <row r="16" spans="1:12" s="6" customFormat="1" ht="30" customHeight="1" x14ac:dyDescent="0.3">
      <c r="B16" s="5"/>
      <c r="C16" s="5"/>
    </row>
  </sheetData>
  <sortState xmlns:xlrd2="http://schemas.microsoft.com/office/spreadsheetml/2017/richdata2" ref="B2:L15">
    <sortCondition descending="1" ref="C2:C15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xSplit="4" ySplit="1" topLeftCell="E2" activePane="bottomRight" state="frozen"/>
      <selection pane="topRight"/>
      <selection pane="bottomLeft"/>
      <selection pane="bottomRight" activeCell="E16" sqref="E16"/>
    </sheetView>
  </sheetViews>
  <sheetFormatPr defaultColWidth="30.58203125" defaultRowHeight="30" customHeight="1" x14ac:dyDescent="0.3"/>
  <cols>
    <col min="1" max="2" width="15.33203125" style="2" customWidth="1"/>
    <col min="3" max="3" width="14.25" style="2" customWidth="1"/>
    <col min="4" max="4" width="30.58203125" style="2"/>
    <col min="5" max="6" width="32.08203125" style="2" customWidth="1"/>
    <col min="7" max="7" width="33.5" style="2"/>
    <col min="8" max="8" width="31.25" style="2"/>
    <col min="9" max="16384" width="30.58203125" style="2"/>
  </cols>
  <sheetData>
    <row r="1" spans="1:12" s="1" customFormat="1" ht="30" customHeight="1" x14ac:dyDescent="0.3">
      <c r="A1" s="7" t="s">
        <v>0</v>
      </c>
      <c r="B1" s="3" t="s">
        <v>1</v>
      </c>
      <c r="C1" s="7" t="s">
        <v>19</v>
      </c>
      <c r="D1" s="3" t="s">
        <v>3</v>
      </c>
      <c r="E1" s="4">
        <v>45975.961805555598</v>
      </c>
      <c r="F1" s="4">
        <v>45975.979861111096</v>
      </c>
      <c r="G1" s="4">
        <v>45975.992361111101</v>
      </c>
      <c r="H1" s="4">
        <v>45976.008333333302</v>
      </c>
      <c r="I1" s="4">
        <v>45976.024305555598</v>
      </c>
      <c r="J1" s="4">
        <v>45976.038194444402</v>
      </c>
      <c r="K1" s="4">
        <v>45976.051388888904</v>
      </c>
      <c r="L1" s="4">
        <v>45976.064583333296</v>
      </c>
    </row>
    <row r="2" spans="1:12" s="5" customFormat="1" ht="30" customHeight="1" x14ac:dyDescent="0.3">
      <c r="A2" s="5">
        <v>1</v>
      </c>
      <c r="B2" s="5">
        <f>COUNTA($E2:$ZZ2)</f>
        <v>1</v>
      </c>
      <c r="C2" s="8">
        <f>IFERROR(AVERAGE($E2:$AAA2),0)</f>
        <v>1</v>
      </c>
      <c r="D2" s="5" t="s">
        <v>14</v>
      </c>
      <c r="L2" s="5">
        <v>1</v>
      </c>
    </row>
    <row r="3" spans="1:12" s="6" customFormat="1" ht="30" customHeight="1" x14ac:dyDescent="0.3">
      <c r="A3" s="6">
        <v>2</v>
      </c>
      <c r="B3" s="5">
        <f>COUNTA($E3:$ZZ3)</f>
        <v>8</v>
      </c>
      <c r="C3" s="8">
        <f>IFERROR(AVERAGE($E3:$AAA3),0)</f>
        <v>0.875</v>
      </c>
      <c r="D3" s="6" t="s">
        <v>13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0</v>
      </c>
      <c r="K3" s="6">
        <v>1</v>
      </c>
      <c r="L3" s="6">
        <v>1</v>
      </c>
    </row>
    <row r="4" spans="1:12" s="6" customFormat="1" ht="30" customHeight="1" x14ac:dyDescent="0.3">
      <c r="A4" s="6">
        <v>3</v>
      </c>
      <c r="B4" s="5">
        <f>COUNTA($E4:$ZZ4)</f>
        <v>8</v>
      </c>
      <c r="C4" s="8">
        <f>IFERROR(AVERAGE($E4:$AAA4),0)</f>
        <v>0.75</v>
      </c>
      <c r="D4" s="6" t="s">
        <v>5</v>
      </c>
      <c r="E4" s="6">
        <v>1</v>
      </c>
      <c r="F4" s="6">
        <v>1</v>
      </c>
      <c r="G4" s="6">
        <v>1</v>
      </c>
      <c r="H4" s="6">
        <v>1</v>
      </c>
      <c r="I4" s="6">
        <v>0</v>
      </c>
      <c r="J4" s="6">
        <v>1</v>
      </c>
      <c r="K4" s="6">
        <v>0</v>
      </c>
      <c r="L4" s="6">
        <v>1</v>
      </c>
    </row>
    <row r="5" spans="1:12" s="6" customFormat="1" ht="30" customHeight="1" x14ac:dyDescent="0.3">
      <c r="A5" s="6">
        <v>4</v>
      </c>
      <c r="B5" s="5">
        <f>COUNTA($E5:$ZZ5)</f>
        <v>7</v>
      </c>
      <c r="C5" s="8">
        <f>IFERROR(AVERAGE($E5:$AAA5),0)</f>
        <v>0.7142857142857143</v>
      </c>
      <c r="D5" s="6" t="s">
        <v>15</v>
      </c>
      <c r="E5" s="6">
        <v>1</v>
      </c>
      <c r="F5" s="6">
        <v>1</v>
      </c>
      <c r="G5" s="6">
        <v>1</v>
      </c>
      <c r="I5" s="6">
        <v>0</v>
      </c>
      <c r="J5" s="6">
        <v>1</v>
      </c>
      <c r="K5" s="6">
        <v>0</v>
      </c>
      <c r="L5" s="6">
        <v>1</v>
      </c>
    </row>
    <row r="6" spans="1:12" s="6" customFormat="1" ht="30" customHeight="1" x14ac:dyDescent="0.3">
      <c r="A6" s="6">
        <v>5</v>
      </c>
      <c r="B6" s="5">
        <f>COUNTA($E6:$ZZ6)</f>
        <v>8</v>
      </c>
      <c r="C6" s="8">
        <f>IFERROR(AVERAGE($E6:$AAA6),0)</f>
        <v>0.625</v>
      </c>
      <c r="D6" s="6" t="s">
        <v>10</v>
      </c>
      <c r="E6" s="6">
        <v>1</v>
      </c>
      <c r="F6" s="6">
        <v>1</v>
      </c>
      <c r="G6" s="6">
        <v>1</v>
      </c>
      <c r="H6" s="6">
        <v>0</v>
      </c>
      <c r="I6" s="6">
        <v>1</v>
      </c>
      <c r="J6" s="6">
        <v>0</v>
      </c>
      <c r="K6" s="6">
        <v>1</v>
      </c>
      <c r="L6" s="6">
        <v>0</v>
      </c>
    </row>
    <row r="7" spans="1:12" s="6" customFormat="1" ht="30" customHeight="1" x14ac:dyDescent="0.3">
      <c r="A7" s="6">
        <v>6</v>
      </c>
      <c r="B7" s="5">
        <f>COUNTA($E7:$ZZ7)</f>
        <v>8</v>
      </c>
      <c r="C7" s="8">
        <f>IFERROR(AVERAGE($E7:$AAA7),0)</f>
        <v>0.625</v>
      </c>
      <c r="D7" s="6" t="s">
        <v>16</v>
      </c>
      <c r="E7" s="6">
        <v>1</v>
      </c>
      <c r="F7" s="6">
        <v>1</v>
      </c>
      <c r="G7" s="6">
        <v>1</v>
      </c>
      <c r="H7" s="6">
        <v>0</v>
      </c>
      <c r="I7" s="6">
        <v>0</v>
      </c>
      <c r="J7" s="6">
        <v>1</v>
      </c>
      <c r="K7" s="6">
        <v>0</v>
      </c>
      <c r="L7" s="6">
        <v>1</v>
      </c>
    </row>
    <row r="8" spans="1:12" s="6" customFormat="1" ht="30" customHeight="1" x14ac:dyDescent="0.3">
      <c r="A8" s="6">
        <v>7</v>
      </c>
      <c r="B8" s="5">
        <f>COUNTA($E8:$ZZ8)</f>
        <v>5</v>
      </c>
      <c r="C8" s="8">
        <f>IFERROR(AVERAGE($E8:$AAA8),0)</f>
        <v>0.6</v>
      </c>
      <c r="D8" s="6" t="s">
        <v>11</v>
      </c>
      <c r="H8" s="6">
        <v>1</v>
      </c>
      <c r="I8" s="6">
        <v>1</v>
      </c>
      <c r="J8" s="6">
        <v>0</v>
      </c>
      <c r="K8" s="6">
        <v>1</v>
      </c>
      <c r="L8" s="6">
        <v>0</v>
      </c>
    </row>
    <row r="9" spans="1:12" s="6" customFormat="1" ht="30" customHeight="1" x14ac:dyDescent="0.3">
      <c r="A9" s="6">
        <v>8</v>
      </c>
      <c r="B9" s="5">
        <f>COUNTA($E9:$ZZ9)</f>
        <v>5</v>
      </c>
      <c r="C9" s="8">
        <f>IFERROR(AVERAGE($E9:$AAA9),0)</f>
        <v>0.4</v>
      </c>
      <c r="D9" s="6" t="s">
        <v>7</v>
      </c>
      <c r="H9" s="6">
        <v>0</v>
      </c>
      <c r="I9" s="6">
        <v>0</v>
      </c>
      <c r="J9" s="6">
        <v>1</v>
      </c>
      <c r="K9" s="6">
        <v>1</v>
      </c>
      <c r="L9" s="6">
        <v>0</v>
      </c>
    </row>
    <row r="10" spans="1:12" s="6" customFormat="1" ht="30" customHeight="1" x14ac:dyDescent="0.3">
      <c r="A10" s="6">
        <v>9</v>
      </c>
      <c r="B10" s="5">
        <f>COUNTA($E10:$ZZ10)</f>
        <v>3</v>
      </c>
      <c r="C10" s="8">
        <f>IFERROR(AVERAGE($E10:$AAA10),0)</f>
        <v>0.33333333333333331</v>
      </c>
      <c r="D10" s="6" t="s">
        <v>8</v>
      </c>
      <c r="F10" s="6">
        <v>0</v>
      </c>
      <c r="G10" s="6">
        <v>0</v>
      </c>
      <c r="H10" s="6">
        <v>1</v>
      </c>
    </row>
    <row r="11" spans="1:12" s="6" customFormat="1" ht="30" customHeight="1" x14ac:dyDescent="0.3">
      <c r="A11" s="6">
        <v>10</v>
      </c>
      <c r="B11" s="5">
        <f>COUNTA($E11:$ZZ11)</f>
        <v>8</v>
      </c>
      <c r="C11" s="8">
        <f>IFERROR(AVERAGE($E11:$AAA11),0)</f>
        <v>0.25</v>
      </c>
      <c r="D11" s="6" t="s">
        <v>6</v>
      </c>
      <c r="E11" s="6">
        <v>0</v>
      </c>
      <c r="F11" s="6">
        <v>0</v>
      </c>
      <c r="G11" s="6">
        <v>0</v>
      </c>
      <c r="H11" s="6">
        <v>1</v>
      </c>
      <c r="I11" s="6">
        <v>1</v>
      </c>
      <c r="J11" s="6">
        <v>0</v>
      </c>
      <c r="K11" s="6">
        <v>0</v>
      </c>
      <c r="L11" s="6">
        <v>0</v>
      </c>
    </row>
    <row r="12" spans="1:12" s="6" customFormat="1" ht="30" customHeight="1" x14ac:dyDescent="0.3">
      <c r="A12" s="6">
        <v>11</v>
      </c>
      <c r="B12" s="5">
        <f>COUNTA($E12:$ZZ12)</f>
        <v>8</v>
      </c>
      <c r="C12" s="8">
        <f>IFERROR(AVERAGE($E12:$AAA12),0)</f>
        <v>0.25</v>
      </c>
      <c r="D12" s="6" t="s">
        <v>12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1</v>
      </c>
      <c r="L12" s="6">
        <v>0</v>
      </c>
    </row>
    <row r="13" spans="1:12" s="6" customFormat="1" ht="30" customHeight="1" x14ac:dyDescent="0.3">
      <c r="A13" s="6">
        <v>12</v>
      </c>
      <c r="B13" s="5">
        <f>COUNTA($E13:$ZZ13)</f>
        <v>7</v>
      </c>
      <c r="C13" s="8">
        <f>IFERROR(AVERAGE($E13:$AAA13),0)</f>
        <v>0.14285714285714285</v>
      </c>
      <c r="D13" s="6" t="s">
        <v>9</v>
      </c>
      <c r="E13" s="6">
        <v>0</v>
      </c>
      <c r="F13" s="6">
        <v>0</v>
      </c>
      <c r="G13" s="6">
        <v>0</v>
      </c>
      <c r="H13" s="6">
        <v>0</v>
      </c>
      <c r="I13" s="6">
        <v>1</v>
      </c>
      <c r="J13" s="6">
        <v>0</v>
      </c>
      <c r="K13" s="6">
        <v>0</v>
      </c>
    </row>
    <row r="14" spans="1:12" s="6" customFormat="1" ht="30" customHeight="1" x14ac:dyDescent="0.3">
      <c r="A14" s="6">
        <v>13</v>
      </c>
      <c r="B14" s="5">
        <f>COUNTA($E14:$ZZ14)</f>
        <v>3</v>
      </c>
      <c r="C14" s="8">
        <f>IFERROR(AVERAGE($E14:$AAA14),0)</f>
        <v>0</v>
      </c>
      <c r="D14" s="6" t="s">
        <v>17</v>
      </c>
      <c r="E14" s="6">
        <v>0</v>
      </c>
      <c r="F14" s="6">
        <v>0</v>
      </c>
      <c r="G14" s="6">
        <v>0</v>
      </c>
    </row>
    <row r="15" spans="1:12" s="6" customFormat="1" ht="30" customHeight="1" x14ac:dyDescent="0.3">
      <c r="A15" s="6">
        <v>14</v>
      </c>
      <c r="B15" s="5">
        <f>COUNTA($E15:$ZZ15)</f>
        <v>0</v>
      </c>
      <c r="C15" s="8">
        <f>IFERROR(AVERAGE($E15:$AAA15),0)</f>
        <v>0</v>
      </c>
      <c r="D15" s="6" t="s">
        <v>18</v>
      </c>
    </row>
    <row r="16" spans="1:12" s="6" customFormat="1" ht="30" customHeight="1" x14ac:dyDescent="0.3">
      <c r="B16" s="5"/>
      <c r="C16" s="8"/>
    </row>
  </sheetData>
  <sortState xmlns:xlrd2="http://schemas.microsoft.com/office/spreadsheetml/2017/richdata2" ref="B2:L15">
    <sortCondition descending="1" ref="C2:C1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评分</vt:lpstr>
      <vt:lpstr>胜率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李林峰</dc:creator>
  <cp:lastModifiedBy>LI Linfeng</cp:lastModifiedBy>
  <dcterms:created xsi:type="dcterms:W3CDTF">2015-06-05T18:19:00Z</dcterms:created>
  <dcterms:modified xsi:type="dcterms:W3CDTF">2025-11-16T12:04:25Z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2AC5CD63765F4EF98D31D8E887A95964_13</vt:lpwstr>
  </property>
  <property fmtid="{D5CDD505-2E9C-101B-9397-08002B2CF9AE}" pid="3" name="KSOProductBuildVer">
    <vt:lpwstr>2052-12.1.0.23542</vt:lpwstr>
  </property>
</Properties>
</file>